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 de Pagos" state="visible" r:id="rId4"/>
  </sheets>
  <calcPr calcId="171027"/>
</workbook>
</file>

<file path=xl/sharedStrings.xml><?xml version="1.0" encoding="utf-8"?>
<sst xmlns="http://schemas.openxmlformats.org/spreadsheetml/2006/main" count="37" uniqueCount="33">
  <si>
    <t>Presupuesto Invertido — Novela Visual</t>
  </si>
  <si>
    <t>Registro de pagos reales a herramientas de IA y servicios del proyecto</t>
  </si>
  <si>
    <t>Fecha</t>
  </si>
  <si>
    <t>Herramienta/Servicio</t>
  </si>
  <si>
    <t>Categoría</t>
  </si>
  <si>
    <t>Tipo de pago</t>
  </si>
  <si>
    <t>Monto (USD)</t>
  </si>
  <si>
    <t>Moneda original</t>
  </si>
  <si>
    <t>Notas</t>
  </si>
  <si>
    <t>Tue Aug 18 2026 19:00:00 GMT-0500 (Colombia Standard Time)</t>
  </si>
  <si>
    <t>Claude Pro</t>
  </si>
  <si>
    <t>IA - Asistente/Desarrollo</t>
  </si>
  <si>
    <t>Suscripción mensual</t>
  </si>
  <si>
    <t>USD</t>
  </si>
  <si>
    <t>Plan mensual, $20 USD/mes. Actualizar esta fila (nueva fila) con cada cobro mensual.</t>
  </si>
  <si>
    <t>Anime Kit (GfxSoundsStudios / Sonniss)</t>
  </si>
  <si>
    <t>Audio/Voz</t>
  </si>
  <si>
    <t>Pago único</t>
  </si>
  <si>
    <t>Pack de 432 SFX/vocalizaciones pregrabadas (una heroína). Incluye SFX generales de magia/combate reutilizables.</t>
  </si>
  <si>
    <t>Sun Sep 06 2026 19:00:00 GMT-0500 (Colombia Standard Time)</t>
  </si>
  <si>
    <t>NovelAI</t>
  </si>
  <si>
    <t>IA - Asistente de arte</t>
  </si>
  <si>
    <t>Compra de tokens</t>
  </si>
  <si>
    <t>↓ Agregá una fila nueva por cada pago (no reemplaces las anteriores) ↓</t>
  </si>
  <si>
    <t>Totales</t>
  </si>
  <si>
    <t>Total invertido (USD)</t>
  </si>
  <si>
    <t>Total por categoría — IA (Asistente/Desarrollo)</t>
  </si>
  <si>
    <t>Total por categoría — Arte IA</t>
  </si>
  <si>
    <t>Total por categoría — Audio/Voz</t>
  </si>
  <si>
    <t>Total por categoría — Otros</t>
  </si>
  <si>
    <t>Total por categoría — IA (Asistente de arte)</t>
  </si>
  <si>
    <t>Categorías sugeridas (columna C): IA - Asistente/Desarrollo · IA - Asistente de arte · Arte IA · Audio/Voz · Otros</t>
  </si>
  <si>
    <t>Tipos de pago sugeridos (columna D): Suscripción mensual · Suscripción anual · Pago único · Créditos/consumo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</si>
</sst>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/d"/>
    <numFmt numFmtId="165" formatCode="$#,##0.00"/>
  </numFmts>
  <fonts count="12" x14ac:knownFonts="1">
    <font>
      <color theme="1"/>
      <family val="2"/>
      <scheme val="minor"/>
      <sz val="11"/>
      <name val="Calibri"/>
    </font>
    <font>
      <b/>
      <sz val="14"/>
      <name val="Arial"/>
    </font>
    <font>
      <i/>
      <color rgb="FF666666"/>
      <sz val="10"/>
      <name val="Arial"/>
    </font>
    <font>
      <b/>
      <color rgb="FFFFFFFF"/>
      <sz val="11"/>
      <name val="Arial"/>
    </font>
    <font>
      <color rgb="FF0000FF"/>
      <sz val="11"/>
      <name val="Arial"/>
    </font>
    <font>
      <color rgb="FF0000FF"/>
      <sz val="11"/>
      <name val="Cambria"/>
    </font>
    <font>
      <i/>
      <color rgb="FF999999"/>
      <sz val="9"/>
      <name val="Arial"/>
    </font>
    <font>
      <b/>
      <sz val="12"/>
      <name val="Arial"/>
    </font>
    <font>
      <sz val="11"/>
      <name val="Arial"/>
    </font>
    <font>
      <b/>
      <sz val="11"/>
      <name val="Arial"/>
    </font>
    <font>
      <sz val="11"/>
      <name val="Calibri"/>
    </font>
    <font>
      <i/>
      <color rgb="FF666666"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2" borderId="0" xfId="0" applyFont="1" applyFill="1" applyAlignment="1">
      <alignment horizontal="center" vertical="center" wrapText="1"/>
    </xf>
    <xf numFmtId="164" fontId="4" fillId="0" borderId="1" xfId="0" applyNumberFormat="1" applyFont="1" applyBorder="1" applyAlignment="1">
      <alignment vertical="bottom"/>
    </xf>
    <xf numFmtId="0" fontId="4" fillId="0" borderId="1" xfId="0" applyFont="1" applyBorder="1" applyAlignment="1">
      <alignment vertical="bottom"/>
    </xf>
    <xf numFmtId="165" fontId="4" fillId="0" borderId="1" xfId="0" applyNumberFormat="1" applyFont="1" applyBorder="1" applyAlignment="1">
      <alignment vertical="bottom"/>
    </xf>
    <xf numFmtId="164" fontId="4" fillId="0" borderId="0" xfId="0" applyNumberFormat="1" applyFont="1" applyAlignment="1">
      <alignment vertical="bottom"/>
    </xf>
    <xf numFmtId="0" fontId="4" fillId="0" borderId="0" xfId="0" applyFont="1" applyAlignment="1">
      <alignment vertical="bottom"/>
    </xf>
    <xf numFmtId="165" fontId="4" fillId="0" borderId="0" xfId="0" applyNumberFormat="1" applyFont="1" applyAlignment="1">
      <alignment vertical="bottom"/>
    </xf>
    <xf numFmtId="164" fontId="5" fillId="0" borderId="0" xfId="0" applyNumberFormat="1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vertical="bottom"/>
    </xf>
    <xf numFmtId="0" fontId="7" fillId="0" borderId="0" xfId="0" applyFont="1" applyAlignment="1">
      <alignment vertical="bottom"/>
    </xf>
    <xf numFmtId="0" fontId="8" fillId="0" borderId="0" xfId="0" applyFont="1" applyAlignment="1">
      <alignment vertical="bottom"/>
    </xf>
    <xf numFmtId="165" fontId="9" fillId="0" borderId="0" xfId="0" applyNumberFormat="1" applyFont="1" applyAlignment="1">
      <alignment vertical="bottom"/>
    </xf>
    <xf numFmtId="165" fontId="10" fillId="0" borderId="0" xfId="0" applyNumberFormat="1" applyFont="1" applyAlignment="1">
      <alignment vertical="bottom"/>
    </xf>
    <xf numFmtId="0" fontId="10" fillId="0" borderId="0" xfId="0" applyFont="1" applyAlignment="1">
      <alignment vertical="bottom"/>
    </xf>
    <xf numFmtId="0" fontId="11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7" width="21.571428571428573" customWidth="1"/>
    <col min="8" max="24" width="13.571428571428571" customWidth="1"/>
  </cols>
  <sheetData>
    <row r="1" ht="17.2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6.25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15" customHeight="1" spans="1:7" x14ac:dyDescent="0.25">
      <c r="A5" s="4" t="s">
        <v>9</v>
      </c>
      <c r="B5" s="5" t="s">
        <v>10</v>
      </c>
      <c r="C5" s="5" t="s">
        <v>11</v>
      </c>
      <c r="D5" s="5" t="s">
        <v>12</v>
      </c>
      <c r="E5" s="6">
        <v>20</v>
      </c>
      <c r="F5" s="5" t="s">
        <v>13</v>
      </c>
      <c r="G5" s="5" t="s">
        <v>14</v>
      </c>
    </row>
    <row r="6" ht="15" customHeight="1" spans="1:7" x14ac:dyDescent="0.25">
      <c r="A6" s="7" t="s">
        <v>9</v>
      </c>
      <c r="B6" s="8" t="s">
        <v>15</v>
      </c>
      <c r="C6" s="8" t="s">
        <v>16</v>
      </c>
      <c r="D6" s="8" t="s">
        <v>17</v>
      </c>
      <c r="E6" s="9">
        <v>39</v>
      </c>
      <c r="F6" s="8" t="s">
        <v>13</v>
      </c>
      <c r="G6" s="8" t="s">
        <v>18</v>
      </c>
    </row>
    <row r="7" ht="15" customHeight="1" spans="1:7" x14ac:dyDescent="0.25">
      <c r="A7" s="10" t="s">
        <v>19</v>
      </c>
      <c r="B7" s="11" t="s">
        <v>20</v>
      </c>
      <c r="C7" s="11" t="s">
        <v>21</v>
      </c>
      <c r="D7" s="11" t="s">
        <v>17</v>
      </c>
      <c r="E7" s="11">
        <v>10</v>
      </c>
      <c r="F7" s="11" t="s">
        <v>13</v>
      </c>
      <c r="G7" s="11" t="s">
        <v>22</v>
      </c>
    </row>
    <row r="8" ht="15" customHeight="1" spans="1:7" x14ac:dyDescent="0.25">
      <c r="A8" s="12" t="s">
        <v>23</v>
      </c>
      <c r="B8" s="12"/>
      <c r="C8" s="12"/>
      <c r="D8" s="12"/>
      <c r="E8" s="12"/>
      <c r="F8" s="12"/>
      <c r="G8" s="12"/>
    </row>
    <row r="9" ht="15" customHeight="1" x14ac:dyDescent="0.25"/>
    <row r="10" ht="15" customHeight="1" spans="1:1" x14ac:dyDescent="0.25">
      <c r="A10" s="13" t="s">
        <v>24</v>
      </c>
    </row>
    <row r="11" ht="15" customHeight="1" spans="1:2" x14ac:dyDescent="0.25">
      <c r="A11" s="14" t="s">
        <v>25</v>
      </c>
      <c r="B11" s="15">
        <f>SUM(E5:E1000)</f>
      </c>
    </row>
    <row r="12" ht="15" customHeight="1" spans="1:2" x14ac:dyDescent="0.25">
      <c r="A12" s="14" t="s">
        <v>26</v>
      </c>
      <c r="B12" s="16">
        <f>SUMIFS(E5:E1000,C5:C1000,"IA - Asistente/Desarrollo")</f>
      </c>
    </row>
    <row r="13" ht="15" customHeight="1" spans="1:2" x14ac:dyDescent="0.25">
      <c r="A13" s="14" t="s">
        <v>27</v>
      </c>
      <c r="B13" s="16">
        <f>SUMIFS(E5:E1000,C5:C1000,"Arte IA")</f>
      </c>
    </row>
    <row r="14" ht="15" customHeight="1" spans="1:2" x14ac:dyDescent="0.25">
      <c r="A14" s="14" t="s">
        <v>28</v>
      </c>
      <c r="B14" s="16">
        <f>SUMIFS(E5:E1000,C5:C1000,"Audio/Voz")</f>
      </c>
    </row>
    <row r="15" ht="15" customHeight="1" spans="1:2" x14ac:dyDescent="0.25">
      <c r="A15" s="14" t="s">
        <v>29</v>
      </c>
      <c r="B15" s="16">
        <f>SUMIFS(E5:E1000,C5:C1000,"Otros")</f>
      </c>
    </row>
    <row r="16" ht="15" customHeight="1" spans="1:2" x14ac:dyDescent="0.25">
      <c r="A16" s="17" t="s">
        <v>30</v>
      </c>
      <c r="B16" s="17">
        <f>SUMIFS(E5:E1000,C5:C1000,"IA - Asistente de arte")</f>
      </c>
    </row>
    <row r="17" ht="15" customHeight="1" spans="1:7" x14ac:dyDescent="0.25">
      <c r="A17" s="18" t="s">
        <v>31</v>
      </c>
      <c r="B17" s="18"/>
      <c r="C17" s="18"/>
      <c r="D17" s="18"/>
      <c r="E17" s="18"/>
      <c r="F17" s="18"/>
      <c r="G17" s="18"/>
    </row>
    <row r="18" ht="15" customHeight="1" spans="1:7" x14ac:dyDescent="0.25">
      <c r="A18" s="18" t="s">
        <v>32</v>
      </c>
      <c r="B18" s="18"/>
      <c r="C18" s="18"/>
      <c r="D18" s="18"/>
      <c r="E18" s="18"/>
      <c r="F18" s="18"/>
      <c r="G18" s="18"/>
    </row>
  </sheetData>
  <mergeCells count="5">
    <mergeCell ref="A1:G1"/>
    <mergeCell ref="A2:G2"/>
    <mergeCell ref="A8:G8"/>
    <mergeCell ref="A17:G17"/>
    <mergeCell ref="A18:G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 de Pagos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2026-09-08T22:25:57Z</dcterms:created>
  <dcterms:modified xsi:type="dcterms:W3CDTF">2026-09-08T22:25:57Z</dcterms:modified>
</cp:coreProperties>
</file>